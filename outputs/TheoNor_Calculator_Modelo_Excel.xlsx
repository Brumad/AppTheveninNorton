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2fbb6d471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oNor Calculator" sheetId="1" r:id="Rf04afd505504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1E2F"/>
      </x:patternFill>
    </x:fill>
    <x:fill>
      <x:patternFill patternType="solid">
        <x:fgColor rgb="FF4F8CFF"/>
      </x:patternFill>
    </x:fill>
    <x:fill>
      <x:patternFill patternType="solid">
        <x:fgColor rgb="FF2D2D44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a8e86bb244548" /><Relationship Type="http://schemas.openxmlformats.org/officeDocument/2006/relationships/theme" Target="/xl/theme/theme1.xml" Id="Rc72c10a4ac8d4be2" /><Relationship Type="http://schemas.openxmlformats.org/officeDocument/2006/relationships/sharedStrings" Target="/xl/sharedStrings.xml" Id="Rd211acacc03541b5" /><Relationship Type="http://schemas.openxmlformats.org/officeDocument/2006/relationships/worksheet" Target="/xl/worksheets/sheet1.xml" Id="Rf04afd5055044b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630001068115234" hidden="0" customWidth="1"/>
    <x:col min="2" max="2" width="34.130001068115234" hidden="0" customWidth="1"/>
    <x:col min="4" max="4" width="9.25" hidden="0" customWidth="1"/>
    <x:col min="5" max="5" width="8.5" hidden="0" customWidth="1"/>
  </x:cols>
  <x:sheetData>
    <x:row r="1">
      <x:c r="A1" s="2" t="str">
        <x:v>TheoNor Calculator - Modelo Excel</x:v>
      </x:c>
    </x:row>
    <x:row r="3">
      <x:c r="A3" s="5" t="str">
        <x:v>Entrada</x:v>
      </x:c>
      <x:c r="B3" s="5" t="str">
        <x:v>Valor</x:v>
      </x:c>
      <x:c r="D3" s="5" t="str">
        <x:v>Entrada</x:v>
      </x:c>
      <x:c r="E3" s="5" t="str">
        <x:v>Valor</x:v>
      </x:c>
    </x:row>
    <x:row r="4">
      <x:c r="A4" s="6" t="str">
        <x:v>Tensao da fonte (V)</x:v>
      </x:c>
      <x:c r="B4" s="7" t="n">
        <x:v>12</x:v>
      </x:c>
      <x:c r="D4" s="6" t="str">
        <x:v>R4 (ohms)</x:v>
      </x:c>
      <x:c r="E4" s="7" t="n">
        <x:v>4</x:v>
      </x:c>
    </x:row>
    <x:row r="5">
      <x:c r="A5" s="6" t="str">
        <x:v>R1 - serie com a fonte (ohms)</x:v>
      </x:c>
      <x:c r="B5" s="7" t="n">
        <x:v>10</x:v>
      </x:c>
      <x:c r="D5" s="6" t="str">
        <x:v>Conexao R4</x:v>
      </x:c>
      <x:c r="E5" s="7" t="str">
        <x:v>Serie</x:v>
      </x:c>
    </x:row>
    <x:row r="6">
      <x:c r="A6" s="6" t="str">
        <x:v>R2 - base do ramo A-B (ohms)</x:v>
      </x:c>
      <x:c r="B6" s="7" t="n">
        <x:v>5</x:v>
      </x:c>
      <x:c r="D6" s="6" t="str">
        <x:v>R5 (ohms)</x:v>
      </x:c>
      <x:c r="E6" s="7" t="n">
        <x:v>6</x:v>
      </x:c>
    </x:row>
    <x:row r="7">
      <x:c r="A7" s="6" t="str">
        <x:v>R3 (ohms)</x:v>
      </x:c>
      <x:c r="B7" s="7" t="n">
        <x:v>3</x:v>
      </x:c>
      <x:c r="D7" s="6" t="str">
        <x:v>Conexao R5</x:v>
      </x:c>
      <x:c r="E7" s="6" t="str">
        <x:v>Paralelo</x:v>
      </x:c>
    </x:row>
    <x:row r="8">
      <x:c r="A8" s="6" t="str">
        <x:v>Conexao R3</x:v>
      </x:c>
      <x:c r="B8" s="6" t="str">
        <x:v>Paralelo</x:v>
      </x:c>
    </x:row>
    <x:row r="9">
      <x:c r="A9" s="6"/>
      <x:c r="B9" s="6"/>
    </x:row>
    <x:row r="10">
      <x:c r="A10" s="5" t="str">
        <x:v>Resultado</x:v>
      </x:c>
      <x:c r="B10" s="5" t="str">
        <x:v>Valor</x:v>
      </x:c>
    </x:row>
    <x:row r="11">
      <x:c r="A11" s="6" t="str">
        <x:v>Req R2-R3</x:v>
      </x:c>
      <x:c r="B11" s="7" t="n">
        <x:f>IF(B8="Serie",B6+B7,(B6*B7)/(B6+B7))</x:f>
        <x:v>1.875</x:v>
      </x:c>
    </x:row>
    <x:row r="12">
      <x:c r="A12" s="6" t="str">
        <x:v>Req R2-R4</x:v>
      </x:c>
      <x:c r="B12" s="7" t="n">
        <x:f>IF(E5="Serie",B11+E4,(B11*E4)/(B11+E4))</x:f>
        <x:v>5.875</x:v>
      </x:c>
    </x:row>
    <x:row r="13">
      <x:c r="A13" s="6" t="str">
        <x:v>Req ramo A-B</x:v>
      </x:c>
      <x:c r="B13" s="7" t="n">
        <x:f>IF(E7="Serie",B12+E6,(B12*E6)/(B12+E6))</x:f>
        <x:v>2.968421052631579</x:v>
      </x:c>
    </x:row>
    <x:row r="14">
      <x:c r="A14" s="6" t="str">
        <x:v>Vth</x:v>
      </x:c>
      <x:c r="B14" s="7" t="n">
        <x:f>B4*B13/(B5+B13)</x:f>
        <x:v>2.7467532467532467</x:v>
      </x:c>
    </x:row>
    <x:row r="15">
      <x:c r="A15" s="6" t="str">
        <x:v>Rth</x:v>
      </x:c>
      <x:c r="B15" s="7" t="n">
        <x:f>B5*B13/(B5+B13)</x:f>
        <x:v>2.288961038961039</x:v>
      </x:c>
    </x:row>
    <x:row r="16">
      <x:c r="A16" s="6" t="str">
        <x:v>In</x:v>
      </x:c>
      <x:c r="B16" s="8" t="n">
        <x:f>B14/B15</x:f>
        <x:v>1.2</x:v>
      </x:c>
    </x:row>
    <x:row r="17">
      <x:c r="A17" s="6" t="str">
        <x:v>Rn</x:v>
      </x:c>
      <x:c r="B17" s="7" t="n">
        <x:f>B15</x:f>
        <x:v>2.288961038961039</x:v>
      </x:c>
    </x:row>
    <x:row r="18">
      <x:c r="A18" s="6" t="str">
        <x:v>Observacao</x:v>
      </x:c>
      <x:c r="B18" s="6" t="str">
        <x:v>Edite os valores e as conexoes Serie/Paralelo.</x:v>
      </x:c>
    </x:row>
    <x:row r="20">
      <x:c r="A20" s="10" t="str">
        <x:v>Modelo do circuito</x:v>
      </x:c>
      <x:c r="B20" t="str"/>
      <x:c r="C20" t="str"/>
      <x:c r="D20" t="str"/>
      <x:c r="E20" t="str"/>
      <x:c r="F20" t="str"/>
      <x:c r="G20" t="str"/>
      <x:c r="H20" t="str"/>
    </x:row>
    <x:row r="21">
      <x:c r="A21" t="str">
        <x:v>R1 fica em serie com a fonte.</x:v>
      </x:c>
      <x:c r="B21" t="str"/>
      <x:c r="C21" t="str"/>
      <x:c r="D21" t="str"/>
      <x:c r="E21" t="str"/>
      <x:c r="F21" t="str"/>
      <x:c r="G21" t="str"/>
      <x:c r="H21" t="str"/>
    </x:row>
    <x:row r="22">
      <x:c r="A22" t="str">
        <x:v>R2 inicia o ramo entre os terminais A-B.</x:v>
      </x:c>
      <x:c r="B22" t="str"/>
      <x:c r="C22" t="str"/>
      <x:c r="D22" t="str"/>
      <x:c r="E22" t="str"/>
      <x:c r="F22" t="str"/>
      <x:c r="G22" t="str"/>
      <x:c r="H22" t="str"/>
    </x:row>
    <x:row r="23">
      <x:c r="A23" t="str">
        <x:v>R3, R4 e R5 entram em serie ou paralelo com o equivalente acumulado ate ali.</x:v>
      </x:c>
      <x:c r="B23" t="str"/>
      <x:c r="C23" t="str"/>
      <x:c r="D23" t="str"/>
      <x:c r="E23" t="str"/>
      <x:c r="F23" t="str"/>
      <x:c r="G23" t="str"/>
      <x:c r="H23" t="str"/>
    </x:row>
    <x:row r="24">
      <x:c r="A24" t="str">
        <x:v>Formulas: In = Vth / Rth; Rn = Rth.</x:v>
      </x:c>
      <x:c r="B24" t="str"/>
      <x:c r="C24" t="str"/>
      <x:c r="D24" t="str"/>
      <x:c r="E24" t="str"/>
      <x:c r="F24" t="str"/>
      <x:c r="G24" t="str"/>
      <x:c r="H24" t="str"/>
    </x:row>
  </x:sheetData>
  <x:mergeCells>
    <x:mergeCell ref="A1:H1"/>
    <x:mergeCell ref="A20:H20"/>
    <x:mergeCell ref="A21:H21"/>
    <x:mergeCell ref="A22:H22"/>
    <x:mergeCell ref="A23:H23"/>
    <x:mergeCell ref="A24:H24"/>
  </x:mergeCells>
  <x:dataValidations count="3">
    <x:dataValidation type="list" sqref="B8">
      <x:formula1>"Serie,Paralelo"</x:formula1>
    </x:dataValidation>
    <x:dataValidation type="list" sqref="E5">
      <x:formula1>"Serie,Paralelo"</x:formula1>
    </x:dataValidation>
    <x:dataValidation type="list" sqref="E7">
      <x:formula1>"Serie,Paralelo"</x:formula1>
    </x:dataValidation>
  </x:dataValidations>
  <x:pageMargins left="0.7" right="0.7" top="0.75" bottom="0.75" header="0.3" footer="0.3"/>
</x:worksheet>
</file>